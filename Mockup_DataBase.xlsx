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\OneDrive\Desktop\Python\GUI_AMR\"/>
    </mc:Choice>
  </mc:AlternateContent>
  <xr:revisionPtr revIDLastSave="0" documentId="13_ncr:1_{B6669EB9-9DB4-4D00-90E9-DEFF7466ED76}" xr6:coauthVersionLast="47" xr6:coauthVersionMax="47" xr10:uidLastSave="{00000000-0000-0000-0000-000000000000}"/>
  <bookViews>
    <workbookView xWindow="-108" yWindow="-108" windowWidth="23256" windowHeight="12576" activeTab="1" xr2:uid="{AAA3F587-1F5C-48BA-A9FE-AE922CF1A699}"/>
  </bookViews>
  <sheets>
    <sheet name="CASCADES" sheetId="1" r:id="rId1"/>
    <sheet name="PROPERTIES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3" i="1" l="1"/>
  <c r="F12" i="1"/>
  <c r="F11" i="1"/>
  <c r="F10" i="1"/>
  <c r="F9" i="1"/>
  <c r="F8" i="1"/>
  <c r="F7" i="1"/>
  <c r="F6" i="1"/>
  <c r="F5" i="1"/>
  <c r="L4" i="1"/>
  <c r="F4" i="1"/>
  <c r="F3" i="1"/>
  <c r="F2" i="1"/>
</calcChain>
</file>

<file path=xl/sharedStrings.xml><?xml version="1.0" encoding="utf-8"?>
<sst xmlns="http://schemas.openxmlformats.org/spreadsheetml/2006/main" count="307" uniqueCount="283">
  <si>
    <t>Cascade Code</t>
  </si>
  <si>
    <t>AMR1</t>
  </si>
  <si>
    <t>AMR2</t>
  </si>
  <si>
    <t>Tc Low</t>
  </si>
  <si>
    <t>Tc High</t>
  </si>
  <si>
    <t>T Span</t>
  </si>
  <si>
    <t>Span start</t>
  </si>
  <si>
    <t>Span end</t>
  </si>
  <si>
    <t>Fiber thickness</t>
  </si>
  <si>
    <t># Elements</t>
  </si>
  <si>
    <t>Number of tests</t>
  </si>
  <si>
    <t>Number of Cycles</t>
  </si>
  <si>
    <t>Pressure Drop</t>
  </si>
  <si>
    <t>Date</t>
  </si>
  <si>
    <t>Operator</t>
  </si>
  <si>
    <t>Status</t>
  </si>
  <si>
    <t>Comment</t>
  </si>
  <si>
    <t>1.22-32C</t>
  </si>
  <si>
    <t>A55,A37,A27,A39,A42,A43,A46</t>
  </si>
  <si>
    <t>A56,A38,A28,A40,A41,A44,A45</t>
  </si>
  <si>
    <t>Bowei</t>
  </si>
  <si>
    <t>In storage</t>
  </si>
  <si>
    <t>Samsung cascade</t>
  </si>
  <si>
    <t>2.20-25C</t>
  </si>
  <si>
    <t>A61,A38,A62,A57,A59</t>
  </si>
  <si>
    <t>A66,A65,A63,A58,A60</t>
  </si>
  <si>
    <t>Laura</t>
  </si>
  <si>
    <t>Dissasembled</t>
  </si>
  <si>
    <t>pressure data not reliable, wrong connection of the sensor</t>
  </si>
  <si>
    <t>3.24-32C</t>
  </si>
  <si>
    <t>A20,A22,A18,A24,A26</t>
  </si>
  <si>
    <t>A21,A15,A23,A19,A25</t>
  </si>
  <si>
    <t>Magnoric cascade</t>
  </si>
  <si>
    <t>4.16-22C</t>
  </si>
  <si>
    <t>A35,A52,A48,A74,A57</t>
  </si>
  <si>
    <t>A70,A53,A73,A67,A58</t>
  </si>
  <si>
    <t>5.16-20C</t>
  </si>
  <si>
    <t>A35,A52,A48,A60</t>
  </si>
  <si>
    <t>A70,A53,A73,A59</t>
  </si>
  <si>
    <t>6.24-31C</t>
  </si>
  <si>
    <t>A20,A22,A18,A75,A24</t>
  </si>
  <si>
    <t>Adjusted Magnoric</t>
  </si>
  <si>
    <t>7.24-31C</t>
  </si>
  <si>
    <t>8.14-20C</t>
  </si>
  <si>
    <t>A33,A70,A36,A48,A74</t>
  </si>
  <si>
    <t>A54,A35,A53,A73,A59</t>
  </si>
  <si>
    <t>9.15-18C</t>
  </si>
  <si>
    <t>A76,A78,A79,A53,A36</t>
  </si>
  <si>
    <t>A32,A77,A80,A35,A81</t>
  </si>
  <si>
    <t>10.23-31C</t>
  </si>
  <si>
    <t>A24,A75,A18,A22,A86,A20,A90</t>
  </si>
  <si>
    <t>A82,A19,A23,A15,A21,A87,A89</t>
  </si>
  <si>
    <t>11.20-31C</t>
  </si>
  <si>
    <t>A24,A75,A18,A22,A86,A20,A90,A91,A94</t>
  </si>
  <si>
    <t>A82,A19,A23,A15,A21,A87,A89,A92,A93</t>
  </si>
  <si>
    <t>BlockA75 broken. Replaced with block B09 for Samsung delivery</t>
  </si>
  <si>
    <t>12.31-21C</t>
  </si>
  <si>
    <t>A24,A75,A18,A22,A86,A20,A90,A91,B01</t>
  </si>
  <si>
    <t>A82,A19,A23,A15,A21,A87,A89,A92,B02</t>
  </si>
  <si>
    <t>13.20-14C</t>
  </si>
  <si>
    <t>A93,A97,A99,B03,B06,B07,A54</t>
  </si>
  <si>
    <t>A94,A96,A98,B04,B05,A79,B08</t>
  </si>
  <si>
    <t>14.18-24C</t>
  </si>
  <si>
    <t>A99,A97,A93,B01,A91,A90,A87</t>
  </si>
  <si>
    <t>A98,A96,A94,B02,A92,A89,A21</t>
  </si>
  <si>
    <t>15.18-24C</t>
  </si>
  <si>
    <t>A99,A97,A93,B12,A91,A90,A88</t>
  </si>
  <si>
    <t>A98,A96,A94,B13,A92,A89,A21</t>
  </si>
  <si>
    <t>same as cascade14, but replaced blocks B01 and B02 with B12 and B13</t>
  </si>
  <si>
    <t>16.35-41C</t>
  </si>
  <si>
    <t>B15,B17,B19,B21,B23,B25</t>
  </si>
  <si>
    <t>B14,B16,B18,B20,B22,B24</t>
  </si>
  <si>
    <t>35,6</t>
  </si>
  <si>
    <t>41,3</t>
  </si>
  <si>
    <t>17.21-15C</t>
  </si>
  <si>
    <t>B13,A94,A96,A98,B03,A35,A79</t>
  </si>
  <si>
    <t>B12,A93,A97,A99,A81,A53,A80</t>
  </si>
  <si>
    <t>18.20-14C</t>
  </si>
  <si>
    <t>A93,A97,A99,A81,A53,A80,B08</t>
  </si>
  <si>
    <t>A94,A96,A98,B03,A35,A79,A54</t>
  </si>
  <si>
    <t>19.32-41C</t>
  </si>
  <si>
    <t>B15,B17,B19,B21,B23,B25,B44,B43,A46</t>
  </si>
  <si>
    <t>B14,B16,B18,B20,B22,B24,B45,B42,A45</t>
  </si>
  <si>
    <t>20.5-13C</t>
  </si>
  <si>
    <t>B41,B40,B39,B38,B37,B36,B35,B34</t>
  </si>
  <si>
    <t>B33,B32,B31,B30,B29,B28,B27,B26</t>
  </si>
  <si>
    <t>21.22-31C</t>
  </si>
  <si>
    <t>A24,B09,A18,A22,A86,A20,A90,A91</t>
  </si>
  <si>
    <t>A82,A19,A23,A15,A21,A87,A89,A92</t>
  </si>
  <si>
    <t>22.14-20C</t>
  </si>
  <si>
    <t>B42,B43,A99,B03,B44,B45,A77,B46</t>
  </si>
  <si>
    <t>A93,B47,A98,B04,B48,B49,B50,B51</t>
  </si>
  <si>
    <t>23.14-20C</t>
  </si>
  <si>
    <t>B42,B43,A99,B52,B53,B54,B55,B50</t>
  </si>
  <si>
    <t>A93,B47,A98,B56,B57,B58,A79,A77</t>
  </si>
  <si>
    <t>24.14-18C</t>
  </si>
  <si>
    <t>B46,A31,A70,B48,B05,B57,B52,A73</t>
  </si>
  <si>
    <t>A76,B50,B49,B58,B44,B53,A30,A48</t>
  </si>
  <si>
    <t>14.7</t>
  </si>
  <si>
    <t>18.4</t>
  </si>
  <si>
    <t>25.16-20C</t>
  </si>
  <si>
    <t>B56,B57,B52,B50,B49,B47</t>
  </si>
  <si>
    <t>B06,B55,B53,B51,B48,B46</t>
  </si>
  <si>
    <t>26.16-21</t>
  </si>
  <si>
    <t>B56,B57,B52,B50,B49,B47,B59</t>
  </si>
  <si>
    <t>B06,B55,B53,B51,B48,B46,B58</t>
  </si>
  <si>
    <t>27.16-21</t>
  </si>
  <si>
    <t>B60,B57,B52,B50,B49,B47</t>
  </si>
  <si>
    <t>28.17-21</t>
  </si>
  <si>
    <t>B57,B52,B50,B71,B47,B59</t>
  </si>
  <si>
    <t>B55,B53,B51,B68,B46,B58</t>
  </si>
  <si>
    <t>29.21-14</t>
  </si>
  <si>
    <t>B72,B69,B70,B66,B57,B52,B50,B71,B47,B59</t>
  </si>
  <si>
    <t>B67,A70,B48,B65,B55,B53,B51,B68,B46,B58</t>
  </si>
  <si>
    <t>30.18-14</t>
  </si>
  <si>
    <t>B72,B69,B70,B66,B57,B52,B50</t>
  </si>
  <si>
    <t>B67,A70,B48,B65,B55,B53,B51</t>
  </si>
  <si>
    <t>31.14-21</t>
  </si>
  <si>
    <t>B72,B69,B70,B66,B57,B52 B73,B71,B47,B59</t>
  </si>
  <si>
    <t>AMR code</t>
  </si>
  <si>
    <t>A14</t>
  </si>
  <si>
    <t>A07</t>
  </si>
  <si>
    <t>A08</t>
  </si>
  <si>
    <t>A01</t>
  </si>
  <si>
    <t>A13</t>
  </si>
  <si>
    <t>A02</t>
  </si>
  <si>
    <t>A03</t>
  </si>
  <si>
    <t>A09</t>
  </si>
  <si>
    <t>A10</t>
  </si>
  <si>
    <t>A11</t>
  </si>
  <si>
    <t>A12</t>
  </si>
  <si>
    <t>A18</t>
  </si>
  <si>
    <t>A17</t>
  </si>
  <si>
    <t>A16</t>
  </si>
  <si>
    <t>A15</t>
  </si>
  <si>
    <t>A04</t>
  </si>
  <si>
    <t>A23</t>
  </si>
  <si>
    <t>A75</t>
  </si>
  <si>
    <t>A64</t>
  </si>
  <si>
    <t>A05</t>
  </si>
  <si>
    <t>A06</t>
  </si>
  <si>
    <t>A21</t>
  </si>
  <si>
    <t>A25</t>
  </si>
  <si>
    <t>A26</t>
  </si>
  <si>
    <t>A43</t>
  </si>
  <si>
    <t>A24</t>
  </si>
  <si>
    <t>A19</t>
  </si>
  <si>
    <t>A35</t>
  </si>
  <si>
    <t>A49</t>
  </si>
  <si>
    <t>A30</t>
  </si>
  <si>
    <t>A31</t>
  </si>
  <si>
    <t>A53</t>
  </si>
  <si>
    <t>B39</t>
  </si>
  <si>
    <t>B72</t>
  </si>
  <si>
    <t>A34</t>
  </si>
  <si>
    <t>A33</t>
  </si>
  <si>
    <t>A52</t>
  </si>
  <si>
    <t>A32</t>
  </si>
  <si>
    <t>B60</t>
  </si>
  <si>
    <t>A22</t>
  </si>
  <si>
    <t>B09</t>
  </si>
  <si>
    <t>A38</t>
  </si>
  <si>
    <t>A54</t>
  </si>
  <si>
    <t>A20</t>
  </si>
  <si>
    <t>A47</t>
  </si>
  <si>
    <t>A36</t>
  </si>
  <si>
    <t>A29</t>
  </si>
  <si>
    <t>A50</t>
  </si>
  <si>
    <t>B26</t>
  </si>
  <si>
    <t>A66</t>
  </si>
  <si>
    <t>A42</t>
  </si>
  <si>
    <t>Crushed</t>
  </si>
  <si>
    <t>B56</t>
  </si>
  <si>
    <t>B36</t>
  </si>
  <si>
    <t>B30</t>
  </si>
  <si>
    <t>B27</t>
  </si>
  <si>
    <t>B35</t>
  </si>
  <si>
    <t>B34</t>
  </si>
  <si>
    <t>B28</t>
  </si>
  <si>
    <t>B33</t>
  </si>
  <si>
    <t>B70</t>
  </si>
  <si>
    <t>B65</t>
  </si>
  <si>
    <t>B66</t>
  </si>
  <si>
    <t>B58</t>
  </si>
  <si>
    <t>A67</t>
  </si>
  <si>
    <t>A55</t>
  </si>
  <si>
    <t>A59</t>
  </si>
  <si>
    <t>B03</t>
  </si>
  <si>
    <t>A73</t>
  </si>
  <si>
    <t>A70</t>
  </si>
  <si>
    <t>A48</t>
  </si>
  <si>
    <t>A74</t>
  </si>
  <si>
    <t>A72</t>
  </si>
  <si>
    <t>B68</t>
  </si>
  <si>
    <t>A45</t>
  </si>
  <si>
    <t>A51</t>
  </si>
  <si>
    <t>A44</t>
  </si>
  <si>
    <t>A39</t>
  </si>
  <si>
    <t>A84</t>
  </si>
  <si>
    <t>A27</t>
  </si>
  <si>
    <t>A41</t>
  </si>
  <si>
    <t>A37</t>
  </si>
  <si>
    <t>A28</t>
  </si>
  <si>
    <t>A85</t>
  </si>
  <si>
    <t>A46</t>
  </si>
  <si>
    <t>A40</t>
  </si>
  <si>
    <t>B40</t>
  </si>
  <si>
    <t>B42</t>
  </si>
  <si>
    <t>A91</t>
  </si>
  <si>
    <t>A78</t>
  </si>
  <si>
    <t>B69</t>
  </si>
  <si>
    <t>A61</t>
  </si>
  <si>
    <t>B07</t>
  </si>
  <si>
    <t>B45</t>
  </si>
  <si>
    <t>B01</t>
  </si>
  <si>
    <t>A76</t>
  </si>
  <si>
    <t>B53</t>
  </si>
  <si>
    <t>B05</t>
  </si>
  <si>
    <t>A92</t>
  </si>
  <si>
    <t>B52</t>
  </si>
  <si>
    <t>B02</t>
  </si>
  <si>
    <t>B64</t>
  </si>
  <si>
    <t>B48</t>
  </si>
  <si>
    <t>B04</t>
  </si>
  <si>
    <t>B32</t>
  </si>
  <si>
    <t>A56</t>
  </si>
  <si>
    <t>B41</t>
  </si>
  <si>
    <t>A63</t>
  </si>
  <si>
    <t>A62</t>
  </si>
  <si>
    <t>A60</t>
  </si>
  <si>
    <t>A57</t>
  </si>
  <si>
    <t>A58</t>
  </si>
  <si>
    <t>A65</t>
  </si>
  <si>
    <t>A82</t>
  </si>
  <si>
    <t>B16</t>
  </si>
  <si>
    <t>B21</t>
  </si>
  <si>
    <t>B14</t>
  </si>
  <si>
    <t>B20</t>
  </si>
  <si>
    <t>B17</t>
  </si>
  <si>
    <t>B18</t>
  </si>
  <si>
    <t>B22</t>
  </si>
  <si>
    <t>B23</t>
  </si>
  <si>
    <t>B15</t>
  </si>
  <si>
    <t>B24</t>
  </si>
  <si>
    <t>A87</t>
  </si>
  <si>
    <t>A88</t>
  </si>
  <si>
    <t>A93</t>
  </si>
  <si>
    <t>A98</t>
  </si>
  <si>
    <t>A96</t>
  </si>
  <si>
    <t>A99</t>
  </si>
  <si>
    <t>A86</t>
  </si>
  <si>
    <t>B06</t>
  </si>
  <si>
    <t>B38</t>
  </si>
  <si>
    <t>A97</t>
  </si>
  <si>
    <t>A89</t>
  </si>
  <si>
    <t>A94</t>
  </si>
  <si>
    <t>A80</t>
  </si>
  <si>
    <t>B29</t>
  </si>
  <si>
    <t>A79</t>
  </si>
  <si>
    <t>B08</t>
  </si>
  <si>
    <t>B31</t>
  </si>
  <si>
    <t>A81</t>
  </si>
  <si>
    <t>A77</t>
  </si>
  <si>
    <t>A83</t>
  </si>
  <si>
    <t>A90</t>
  </si>
  <si>
    <t>B63</t>
  </si>
  <si>
    <t>B59</t>
  </si>
  <si>
    <t>B62</t>
  </si>
  <si>
    <t>B55</t>
  </si>
  <si>
    <t>s</t>
  </si>
  <si>
    <t>B25</t>
  </si>
  <si>
    <t>B43</t>
  </si>
  <si>
    <t>B57</t>
  </si>
  <si>
    <t>B61</t>
  </si>
  <si>
    <t>B71</t>
  </si>
  <si>
    <t>B37</t>
  </si>
  <si>
    <t>B19</t>
  </si>
  <si>
    <t>B47</t>
  </si>
  <si>
    <t>B49</t>
  </si>
  <si>
    <t>B67</t>
  </si>
  <si>
    <t>B50</t>
  </si>
  <si>
    <t>B51</t>
  </si>
  <si>
    <t>B73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</si>
</sst>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b/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14" fontId="0" fillId="0" borderId="0" xfId="0" applyNumberFormat="1"/>
    <xf numFmtId="16" fontId="0" fillId="0" borderId="0" xfId="0" applyNumberFormat="1"/>
    <xf numFmtId="0" fontId="2" fillId="0" borderId="0" xfId="0" applyFont="1"/>
    <xf numFmtId="0" fontId="2" fillId="0" borderId="0" xfId="0" applyFont="1" applyAlignment="1">
      <alignment horizontal="right"/>
    </xf>
    <xf numFmtId="0" fontId="0" fillId="3" borderId="0" xfId="0" applyFill="1"/>
    <xf numFmtId="0" fontId="3" fillId="0" borderId="0" xfId="0" applyFont="1"/>
    <xf numFmtId="0" fontId="4" fillId="4" borderId="0" xfId="0" applyFont="1" applyFill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5BAA2-5F83-40E0-B5BD-448AE012E2BE}">
  <dimension ref="A1:Q32"/>
  <sheetViews>
    <sheetView workbookViewId="0">
      <selection activeCell="C11" sqref="C11"/>
    </sheetView>
  </sheetViews>
  <sheetFormatPr defaultRowHeight="14.4" x14ac:dyDescent="0.3"/>
  <cols>
    <col min="1" max="1" width="13.21875" bestFit="1" customWidth="1"/>
    <col min="2" max="2" width="40.77734375" customWidth="1"/>
    <col min="3" max="3" width="37.5546875" customWidth="1"/>
    <col min="9" max="9" width="13" bestFit="1" customWidth="1"/>
    <col min="10" max="10" width="9.5546875" bestFit="1" customWidth="1"/>
    <col min="11" max="11" width="15.21875" bestFit="1" customWidth="1"/>
    <col min="12" max="12" width="16.77734375" bestFit="1" customWidth="1"/>
    <col min="13" max="13" width="12.21875" bestFit="1" customWidth="1"/>
    <col min="14" max="14" width="10.5546875" bestFit="1" customWidth="1"/>
    <col min="16" max="16" width="12.5546875" bestFit="1" customWidth="1"/>
    <col min="17" max="17" width="9.554687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2" t="s">
        <v>17</v>
      </c>
      <c r="B2" t="s">
        <v>18</v>
      </c>
      <c r="C2" t="s">
        <v>19</v>
      </c>
      <c r="D2">
        <v>22.5</v>
      </c>
      <c r="E2">
        <v>32</v>
      </c>
      <c r="F2">
        <f t="shared" ref="F2:F12" si="0">G2-H2</f>
        <v>8.3000000000000007</v>
      </c>
      <c r="G2">
        <v>33.6</v>
      </c>
      <c r="H2">
        <v>25.3</v>
      </c>
      <c r="I2">
        <v>250</v>
      </c>
      <c r="J2">
        <v>7</v>
      </c>
      <c r="N2" s="2">
        <v>45862</v>
      </c>
      <c r="O2" t="s">
        <v>20</v>
      </c>
      <c r="P2" t="s">
        <v>21</v>
      </c>
      <c r="Q2" t="s">
        <v>22</v>
      </c>
    </row>
    <row r="3" spans="1:17" x14ac:dyDescent="0.3">
      <c r="A3" t="s">
        <v>23</v>
      </c>
      <c r="B3" t="s">
        <v>24</v>
      </c>
      <c r="C3" t="s">
        <v>25</v>
      </c>
      <c r="D3">
        <v>20.100000000000001</v>
      </c>
      <c r="E3">
        <v>25</v>
      </c>
      <c r="F3">
        <f t="shared" si="0"/>
        <v>3.8000000000000007</v>
      </c>
      <c r="G3">
        <v>26.5</v>
      </c>
      <c r="H3">
        <v>22.7</v>
      </c>
      <c r="I3">
        <v>250</v>
      </c>
      <c r="J3">
        <v>5</v>
      </c>
      <c r="N3" s="2">
        <v>45874</v>
      </c>
      <c r="O3" t="s">
        <v>26</v>
      </c>
      <c r="P3" t="s">
        <v>27</v>
      </c>
      <c r="Q3" t="s">
        <v>28</v>
      </c>
    </row>
    <row r="4" spans="1:17" x14ac:dyDescent="0.3">
      <c r="A4" t="s">
        <v>29</v>
      </c>
      <c r="B4" t="s">
        <v>30</v>
      </c>
      <c r="C4" t="s">
        <v>31</v>
      </c>
      <c r="D4">
        <v>24.4</v>
      </c>
      <c r="E4">
        <v>32</v>
      </c>
      <c r="F4">
        <f t="shared" si="0"/>
        <v>8.2000000000000028</v>
      </c>
      <c r="G4">
        <v>33.1</v>
      </c>
      <c r="H4">
        <v>24.9</v>
      </c>
      <c r="I4">
        <v>250</v>
      </c>
      <c r="J4">
        <v>5</v>
      </c>
      <c r="K4">
        <v>10</v>
      </c>
      <c r="L4">
        <f>K4*17280</f>
        <v>172800</v>
      </c>
      <c r="N4" s="2">
        <v>45875</v>
      </c>
      <c r="O4" t="s">
        <v>26</v>
      </c>
      <c r="P4" t="s">
        <v>21</v>
      </c>
      <c r="Q4" t="s">
        <v>32</v>
      </c>
    </row>
    <row r="5" spans="1:17" x14ac:dyDescent="0.3">
      <c r="A5" t="s">
        <v>33</v>
      </c>
      <c r="B5" t="s">
        <v>34</v>
      </c>
      <c r="C5" t="s">
        <v>35</v>
      </c>
      <c r="D5">
        <v>15.7</v>
      </c>
      <c r="E5">
        <v>22.4</v>
      </c>
      <c r="F5">
        <f t="shared" si="0"/>
        <v>0.79999999999999716</v>
      </c>
      <c r="G5">
        <v>22.4</v>
      </c>
      <c r="H5">
        <v>21.6</v>
      </c>
      <c r="I5">
        <v>250</v>
      </c>
      <c r="J5">
        <v>5</v>
      </c>
      <c r="N5" s="2">
        <v>45876</v>
      </c>
      <c r="O5" t="s">
        <v>26</v>
      </c>
      <c r="P5" t="s">
        <v>27</v>
      </c>
    </row>
    <row r="6" spans="1:17" x14ac:dyDescent="0.3">
      <c r="A6" t="s">
        <v>36</v>
      </c>
      <c r="B6" t="s">
        <v>37</v>
      </c>
      <c r="C6" t="s">
        <v>38</v>
      </c>
      <c r="D6">
        <v>15.7</v>
      </c>
      <c r="E6">
        <v>20.7</v>
      </c>
      <c r="F6">
        <f t="shared" si="0"/>
        <v>-9.9999999999997868E-2</v>
      </c>
      <c r="G6">
        <v>20.100000000000001</v>
      </c>
      <c r="H6">
        <v>20.2</v>
      </c>
      <c r="I6">
        <v>250</v>
      </c>
      <c r="J6">
        <v>4</v>
      </c>
      <c r="N6" s="2">
        <v>45877</v>
      </c>
      <c r="O6" t="s">
        <v>26</v>
      </c>
    </row>
    <row r="7" spans="1:17" x14ac:dyDescent="0.3">
      <c r="A7" t="s">
        <v>39</v>
      </c>
      <c r="B7" t="s">
        <v>40</v>
      </c>
      <c r="C7" t="s">
        <v>31</v>
      </c>
      <c r="D7">
        <v>20.100000000000001</v>
      </c>
      <c r="E7">
        <v>31</v>
      </c>
      <c r="F7">
        <f t="shared" si="0"/>
        <v>0</v>
      </c>
      <c r="I7">
        <v>250</v>
      </c>
      <c r="J7">
        <v>5</v>
      </c>
      <c r="Q7" t="s">
        <v>41</v>
      </c>
    </row>
    <row r="8" spans="1:17" x14ac:dyDescent="0.3">
      <c r="A8" t="s">
        <v>42</v>
      </c>
      <c r="B8" t="s">
        <v>31</v>
      </c>
      <c r="C8" t="s">
        <v>40</v>
      </c>
      <c r="D8">
        <v>20.100000000000001</v>
      </c>
      <c r="E8">
        <v>31</v>
      </c>
      <c r="F8">
        <f t="shared" si="0"/>
        <v>0</v>
      </c>
      <c r="I8">
        <v>250</v>
      </c>
      <c r="J8">
        <v>5</v>
      </c>
    </row>
    <row r="9" spans="1:17" x14ac:dyDescent="0.3">
      <c r="A9" t="s">
        <v>43</v>
      </c>
      <c r="B9" t="s">
        <v>44</v>
      </c>
      <c r="C9" t="s">
        <v>45</v>
      </c>
      <c r="D9">
        <v>14</v>
      </c>
      <c r="E9">
        <v>20.2</v>
      </c>
      <c r="F9">
        <f t="shared" si="0"/>
        <v>0</v>
      </c>
      <c r="I9">
        <v>250</v>
      </c>
      <c r="J9">
        <v>5</v>
      </c>
      <c r="N9" s="3"/>
    </row>
    <row r="10" spans="1:17" x14ac:dyDescent="0.3">
      <c r="A10" t="s">
        <v>46</v>
      </c>
      <c r="B10" t="s">
        <v>47</v>
      </c>
      <c r="C10" t="s">
        <v>48</v>
      </c>
      <c r="D10">
        <v>14.7</v>
      </c>
      <c r="E10">
        <v>17.5</v>
      </c>
      <c r="F10">
        <f t="shared" si="0"/>
        <v>0</v>
      </c>
      <c r="I10">
        <v>250</v>
      </c>
      <c r="J10">
        <v>5</v>
      </c>
    </row>
    <row r="11" spans="1:17" x14ac:dyDescent="0.3">
      <c r="A11" t="s">
        <v>49</v>
      </c>
      <c r="B11" t="s">
        <v>50</v>
      </c>
      <c r="C11" t="s">
        <v>51</v>
      </c>
      <c r="D11">
        <v>23.6</v>
      </c>
      <c r="E11">
        <v>31.1</v>
      </c>
      <c r="F11">
        <f t="shared" si="0"/>
        <v>9.3000000000000007</v>
      </c>
      <c r="G11">
        <v>33</v>
      </c>
      <c r="H11">
        <v>23.7</v>
      </c>
      <c r="I11">
        <v>250</v>
      </c>
      <c r="J11">
        <v>7</v>
      </c>
    </row>
    <row r="12" spans="1:17" x14ac:dyDescent="0.3">
      <c r="A12" t="s">
        <v>52</v>
      </c>
      <c r="B12" t="s">
        <v>53</v>
      </c>
      <c r="C12" t="s">
        <v>54</v>
      </c>
      <c r="D12">
        <v>20.2</v>
      </c>
      <c r="E12">
        <v>31.1</v>
      </c>
      <c r="F12">
        <f t="shared" si="0"/>
        <v>10.999999999999996</v>
      </c>
      <c r="G12">
        <v>33.799999999999997</v>
      </c>
      <c r="H12">
        <v>22.8</v>
      </c>
      <c r="I12">
        <v>250</v>
      </c>
      <c r="J12">
        <v>9</v>
      </c>
      <c r="Q12" t="s">
        <v>55</v>
      </c>
    </row>
    <row r="13" spans="1:17" x14ac:dyDescent="0.3">
      <c r="A13" t="s">
        <v>56</v>
      </c>
      <c r="B13" t="s">
        <v>57</v>
      </c>
      <c r="C13" t="s">
        <v>58</v>
      </c>
      <c r="D13">
        <v>21.5</v>
      </c>
      <c r="E13">
        <v>31.1</v>
      </c>
      <c r="F13">
        <f>G13-H13</f>
        <v>9.5</v>
      </c>
      <c r="G13">
        <v>32.5</v>
      </c>
      <c r="H13">
        <v>23</v>
      </c>
      <c r="I13">
        <v>250</v>
      </c>
      <c r="J13">
        <v>9</v>
      </c>
    </row>
    <row r="14" spans="1:17" x14ac:dyDescent="0.3">
      <c r="A14" t="s">
        <v>59</v>
      </c>
      <c r="B14" t="s">
        <v>60</v>
      </c>
      <c r="C14" t="s">
        <v>61</v>
      </c>
      <c r="D14">
        <v>14.17</v>
      </c>
      <c r="E14">
        <v>20.2</v>
      </c>
      <c r="J14">
        <v>7</v>
      </c>
    </row>
    <row r="15" spans="1:17" x14ac:dyDescent="0.3">
      <c r="A15" t="s">
        <v>62</v>
      </c>
      <c r="B15" t="s">
        <v>63</v>
      </c>
      <c r="C15" t="s">
        <v>64</v>
      </c>
      <c r="D15">
        <v>18.3</v>
      </c>
      <c r="E15">
        <v>24.3</v>
      </c>
    </row>
    <row r="16" spans="1:17" x14ac:dyDescent="0.3">
      <c r="A16" t="s">
        <v>65</v>
      </c>
      <c r="B16" t="s">
        <v>66</v>
      </c>
      <c r="C16" t="s">
        <v>67</v>
      </c>
      <c r="D16">
        <v>18.3</v>
      </c>
      <c r="E16">
        <v>24.3</v>
      </c>
      <c r="Q16" t="s">
        <v>68</v>
      </c>
    </row>
    <row r="17" spans="1:10" x14ac:dyDescent="0.3">
      <c r="A17" t="s">
        <v>69</v>
      </c>
      <c r="B17" s="4" t="s">
        <v>70</v>
      </c>
      <c r="C17" s="4" t="s">
        <v>71</v>
      </c>
      <c r="D17" s="5" t="s">
        <v>72</v>
      </c>
      <c r="E17" s="5" t="s">
        <v>73</v>
      </c>
      <c r="F17" s="5"/>
    </row>
    <row r="18" spans="1:10" x14ac:dyDescent="0.3">
      <c r="A18" t="s">
        <v>74</v>
      </c>
      <c r="B18" t="s">
        <v>75</v>
      </c>
      <c r="C18" t="s">
        <v>76</v>
      </c>
      <c r="D18">
        <v>15.6</v>
      </c>
      <c r="E18">
        <v>21.5</v>
      </c>
      <c r="J18">
        <v>7</v>
      </c>
    </row>
    <row r="19" spans="1:10" x14ac:dyDescent="0.3">
      <c r="A19" t="s">
        <v>77</v>
      </c>
      <c r="B19" t="s">
        <v>78</v>
      </c>
      <c r="C19" t="s">
        <v>79</v>
      </c>
      <c r="D19">
        <v>14.2</v>
      </c>
      <c r="E19">
        <v>20.2</v>
      </c>
      <c r="J19">
        <v>7</v>
      </c>
    </row>
    <row r="20" spans="1:10" x14ac:dyDescent="0.3">
      <c r="A20" t="s">
        <v>80</v>
      </c>
      <c r="B20" t="s">
        <v>81</v>
      </c>
      <c r="C20" t="s">
        <v>82</v>
      </c>
      <c r="D20">
        <v>31.8</v>
      </c>
      <c r="E20">
        <v>41</v>
      </c>
      <c r="J20">
        <v>9</v>
      </c>
    </row>
    <row r="21" spans="1:10" x14ac:dyDescent="0.3">
      <c r="A21" t="s">
        <v>83</v>
      </c>
      <c r="B21" t="s">
        <v>84</v>
      </c>
      <c r="C21" t="s">
        <v>85</v>
      </c>
      <c r="D21">
        <v>5.7</v>
      </c>
      <c r="E21">
        <v>13.5</v>
      </c>
    </row>
    <row r="22" spans="1:10" x14ac:dyDescent="0.3">
      <c r="A22" t="s">
        <v>86</v>
      </c>
      <c r="B22" t="s">
        <v>87</v>
      </c>
      <c r="C22" t="s">
        <v>88</v>
      </c>
      <c r="D22">
        <v>22.6</v>
      </c>
      <c r="E22">
        <v>31.1</v>
      </c>
    </row>
    <row r="23" spans="1:10" x14ac:dyDescent="0.3">
      <c r="A23" t="s">
        <v>89</v>
      </c>
      <c r="B23" t="s">
        <v>90</v>
      </c>
      <c r="C23" t="s">
        <v>91</v>
      </c>
    </row>
    <row r="24" spans="1:10" x14ac:dyDescent="0.3">
      <c r="A24" t="s">
        <v>92</v>
      </c>
      <c r="B24" t="s">
        <v>93</v>
      </c>
      <c r="C24" t="s">
        <v>94</v>
      </c>
    </row>
    <row r="25" spans="1:10" x14ac:dyDescent="0.3">
      <c r="A25" t="s">
        <v>95</v>
      </c>
      <c r="B25" t="s">
        <v>96</v>
      </c>
      <c r="C25" t="s">
        <v>97</v>
      </c>
      <c r="D25" t="s">
        <v>98</v>
      </c>
      <c r="E25" t="s">
        <v>99</v>
      </c>
    </row>
    <row r="26" spans="1:10" x14ac:dyDescent="0.3">
      <c r="A26" t="s">
        <v>100</v>
      </c>
      <c r="B26" t="s">
        <v>101</v>
      </c>
      <c r="C26" t="s">
        <v>102</v>
      </c>
      <c r="D26">
        <v>16.8</v>
      </c>
      <c r="E26">
        <v>20</v>
      </c>
      <c r="J26">
        <v>6</v>
      </c>
    </row>
    <row r="27" spans="1:10" x14ac:dyDescent="0.3">
      <c r="A27" t="s">
        <v>103</v>
      </c>
      <c r="B27" t="s">
        <v>104</v>
      </c>
      <c r="C27" t="s">
        <v>105</v>
      </c>
      <c r="D27">
        <v>16.8</v>
      </c>
      <c r="E27">
        <v>20.7</v>
      </c>
    </row>
    <row r="28" spans="1:10" x14ac:dyDescent="0.3">
      <c r="A28" t="s">
        <v>106</v>
      </c>
      <c r="B28" t="s">
        <v>107</v>
      </c>
      <c r="C28" t="s">
        <v>102</v>
      </c>
      <c r="D28">
        <v>16.8</v>
      </c>
      <c r="E28">
        <v>20</v>
      </c>
    </row>
    <row r="29" spans="1:10" x14ac:dyDescent="0.3">
      <c r="A29" s="6" t="s">
        <v>108</v>
      </c>
      <c r="B29" s="6" t="s">
        <v>109</v>
      </c>
      <c r="C29" s="6" t="s">
        <v>110</v>
      </c>
      <c r="D29">
        <v>17.600000000000001</v>
      </c>
      <c r="E29">
        <v>20.6</v>
      </c>
    </row>
    <row r="30" spans="1:10" x14ac:dyDescent="0.3">
      <c r="A30" t="s">
        <v>111</v>
      </c>
      <c r="B30" t="s">
        <v>112</v>
      </c>
      <c r="C30" t="s">
        <v>113</v>
      </c>
      <c r="J30">
        <v>10</v>
      </c>
    </row>
    <row r="31" spans="1:10" x14ac:dyDescent="0.3">
      <c r="A31" t="s">
        <v>114</v>
      </c>
      <c r="B31" t="s">
        <v>115</v>
      </c>
      <c r="C31" t="s">
        <v>116</v>
      </c>
      <c r="D31">
        <v>14.7</v>
      </c>
      <c r="E31">
        <v>18.5</v>
      </c>
      <c r="J31">
        <v>7</v>
      </c>
    </row>
    <row r="32" spans="1:10" x14ac:dyDescent="0.3">
      <c r="A32" t="s">
        <v>117</v>
      </c>
      <c r="B32" s="7" t="s">
        <v>118</v>
      </c>
      <c r="C32" s="7" t="s">
        <v>113</v>
      </c>
      <c r="D32">
        <v>14.7</v>
      </c>
      <c r="E32">
        <v>20.6</v>
      </c>
      <c r="J3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969EB-FE18-4D11-84BD-B5CA1A20A6BB}">
  <dimension ref="A1:A2476"/>
  <sheetViews>
    <sheetView tabSelected="1" workbookViewId="0">
      <selection activeCell="E10" sqref="E10"/>
    </sheetView>
  </sheetViews>
  <sheetFormatPr defaultRowHeight="14.4" x14ac:dyDescent="0.3"/>
  <cols>
    <col min="1" max="1" width="9" customWidth="1"/>
  </cols>
  <sheetData>
    <row r="1" spans="1:1" ht="28.8" x14ac:dyDescent="0.3">
      <c r="A1" s="8" t="s">
        <v>119</v>
      </c>
    </row>
    <row r="2" spans="1:1" x14ac:dyDescent="0.3">
      <c r="A2" t="s">
        <v>121</v>
      </c>
    </row>
    <row r="3" spans="1:1" x14ac:dyDescent="0.3">
      <c r="A3" t="s">
        <v>122</v>
      </c>
    </row>
    <row r="4" spans="1:1" x14ac:dyDescent="0.3">
      <c r="A4" t="s">
        <v>124</v>
      </c>
    </row>
    <row r="5" spans="1:1" x14ac:dyDescent="0.3">
      <c r="A5" t="s">
        <v>123</v>
      </c>
    </row>
    <row r="6" spans="1:1" x14ac:dyDescent="0.3">
      <c r="A6" t="s">
        <v>120</v>
      </c>
    </row>
    <row r="7" spans="1:1" x14ac:dyDescent="0.3">
      <c r="A7" t="s">
        <v>125</v>
      </c>
    </row>
    <row r="8" spans="1:1" x14ac:dyDescent="0.3">
      <c r="A8" t="s">
        <v>127</v>
      </c>
    </row>
    <row r="9" spans="1:1" x14ac:dyDescent="0.3">
      <c r="A9" t="s">
        <v>126</v>
      </c>
    </row>
    <row r="10" spans="1:1" x14ac:dyDescent="0.3">
      <c r="A10" t="s">
        <v>182</v>
      </c>
    </row>
    <row r="11" spans="1:1" x14ac:dyDescent="0.3">
      <c r="A11" t="s">
        <v>128</v>
      </c>
    </row>
    <row r="12" spans="1:1" x14ac:dyDescent="0.3">
      <c r="A12" t="s">
        <v>130</v>
      </c>
    </row>
    <row r="13" spans="1:1" x14ac:dyDescent="0.3">
      <c r="A13" t="s">
        <v>131</v>
      </c>
    </row>
    <row r="14" spans="1:1" x14ac:dyDescent="0.3">
      <c r="A14" t="s">
        <v>133</v>
      </c>
    </row>
    <row r="15" spans="1:1" x14ac:dyDescent="0.3">
      <c r="A15" t="s">
        <v>129</v>
      </c>
    </row>
    <row r="16" spans="1:1" x14ac:dyDescent="0.3">
      <c r="A16" t="s">
        <v>132</v>
      </c>
    </row>
    <row r="17" spans="1:1" x14ac:dyDescent="0.3">
      <c r="A17" t="s">
        <v>235</v>
      </c>
    </row>
    <row r="18" spans="1:1" x14ac:dyDescent="0.3">
      <c r="A18" t="s">
        <v>236</v>
      </c>
    </row>
    <row r="19" spans="1:1" x14ac:dyDescent="0.3">
      <c r="A19" t="s">
        <v>237</v>
      </c>
    </row>
    <row r="20" spans="1:1" x14ac:dyDescent="0.3">
      <c r="A20" t="s">
        <v>238</v>
      </c>
    </row>
    <row r="21" spans="1:1" x14ac:dyDescent="0.3">
      <c r="A21" t="s">
        <v>239</v>
      </c>
    </row>
    <row r="22" spans="1:1" x14ac:dyDescent="0.3">
      <c r="A22" t="s">
        <v>240</v>
      </c>
    </row>
    <row r="23" spans="1:1" x14ac:dyDescent="0.3">
      <c r="A23" t="s">
        <v>257</v>
      </c>
    </row>
    <row r="24" spans="1:1" x14ac:dyDescent="0.3">
      <c r="A24" t="s">
        <v>255</v>
      </c>
    </row>
    <row r="25" spans="1:1" x14ac:dyDescent="0.3">
      <c r="A25" t="s">
        <v>256</v>
      </c>
    </row>
    <row r="26" spans="1:1" x14ac:dyDescent="0.3">
      <c r="A26" t="s">
        <v>258</v>
      </c>
    </row>
    <row r="27" spans="1:1" x14ac:dyDescent="0.3">
      <c r="A27" t="s">
        <v>262</v>
      </c>
    </row>
    <row r="28" spans="1:1" x14ac:dyDescent="0.3">
      <c r="A28" t="s">
        <v>263</v>
      </c>
    </row>
    <row r="29" spans="1:1" x14ac:dyDescent="0.3">
      <c r="A29" t="s">
        <v>259</v>
      </c>
    </row>
    <row r="30" spans="1:1" x14ac:dyDescent="0.3">
      <c r="A30" t="s">
        <v>260</v>
      </c>
    </row>
    <row r="31" spans="1:1" x14ac:dyDescent="0.3">
      <c r="A31" t="s">
        <v>261</v>
      </c>
    </row>
    <row r="32" spans="1:1" x14ac:dyDescent="0.3">
      <c r="A32" t="s">
        <v>265</v>
      </c>
    </row>
    <row r="33" spans="1:1" x14ac:dyDescent="0.3">
      <c r="A33" t="s">
        <v>266</v>
      </c>
    </row>
    <row r="34" spans="1:1" x14ac:dyDescent="0.3">
      <c r="A34" t="s">
        <v>264</v>
      </c>
    </row>
    <row r="35" spans="1:1" x14ac:dyDescent="0.3">
      <c r="A35" t="s">
        <v>267</v>
      </c>
    </row>
    <row r="36" spans="1:1" x14ac:dyDescent="0.3">
      <c r="A36" t="s">
        <v>268</v>
      </c>
    </row>
    <row r="37" spans="1:1" x14ac:dyDescent="0.3">
      <c r="A37" t="s">
        <v>270</v>
      </c>
    </row>
    <row r="38" spans="1:1" x14ac:dyDescent="0.3">
      <c r="A38" t="s">
        <v>271</v>
      </c>
    </row>
    <row r="39" spans="1:1" x14ac:dyDescent="0.3">
      <c r="A39" t="s">
        <v>272</v>
      </c>
    </row>
    <row r="40" spans="1:1" x14ac:dyDescent="0.3">
      <c r="A40" t="s">
        <v>273</v>
      </c>
    </row>
    <row r="41" spans="1:1" x14ac:dyDescent="0.3">
      <c r="A41" t="s">
        <v>179</v>
      </c>
    </row>
    <row r="42" spans="1:1" x14ac:dyDescent="0.3">
      <c r="A42" t="s">
        <v>274</v>
      </c>
    </row>
    <row r="43" spans="1:1" x14ac:dyDescent="0.3">
      <c r="A43" t="s">
        <v>278</v>
      </c>
    </row>
    <row r="44" spans="1:1" x14ac:dyDescent="0.3">
      <c r="A44" t="s">
        <v>277</v>
      </c>
    </row>
    <row r="45" spans="1:1" x14ac:dyDescent="0.3">
      <c r="A45" t="s">
        <v>279</v>
      </c>
    </row>
    <row r="46" spans="1:1" x14ac:dyDescent="0.3">
      <c r="A46" t="s">
        <v>275</v>
      </c>
    </row>
    <row r="47" spans="1:1" x14ac:dyDescent="0.3">
      <c r="A47" t="s">
        <v>276</v>
      </c>
    </row>
    <row r="48" spans="1:1" x14ac:dyDescent="0.3">
      <c r="A48" t="s">
        <v>241</v>
      </c>
    </row>
    <row r="49" spans="1:1" x14ac:dyDescent="0.3">
      <c r="A49" t="s">
        <v>246</v>
      </c>
    </row>
    <row r="50" spans="1:1" x14ac:dyDescent="0.3">
      <c r="A50" t="s">
        <v>247</v>
      </c>
    </row>
    <row r="51" spans="1:1" x14ac:dyDescent="0.3">
      <c r="A51" t="s">
        <v>242</v>
      </c>
    </row>
    <row r="52" spans="1:1" x14ac:dyDescent="0.3">
      <c r="A52" t="s">
        <v>243</v>
      </c>
    </row>
    <row r="53" spans="1:1" x14ac:dyDescent="0.3">
      <c r="A53" t="s">
        <v>244</v>
      </c>
    </row>
    <row r="54" spans="1:1" x14ac:dyDescent="0.3">
      <c r="A54" t="s">
        <v>248</v>
      </c>
    </row>
    <row r="55" spans="1:1" x14ac:dyDescent="0.3">
      <c r="A55" t="s">
        <v>245</v>
      </c>
    </row>
    <row r="56" spans="1:1" x14ac:dyDescent="0.3">
      <c r="A56" t="s">
        <v>134</v>
      </c>
    </row>
    <row r="57" spans="1:1" x14ac:dyDescent="0.3">
      <c r="A57" t="s">
        <v>135</v>
      </c>
    </row>
    <row r="58" spans="1:1" x14ac:dyDescent="0.3">
      <c r="A58" t="s">
        <v>136</v>
      </c>
    </row>
    <row r="59" spans="1:1" x14ac:dyDescent="0.3">
      <c r="A59" t="s">
        <v>137</v>
      </c>
    </row>
    <row r="60" spans="1:1" x14ac:dyDescent="0.3">
      <c r="A60" t="s">
        <v>138</v>
      </c>
    </row>
    <row r="61" spans="1:1" x14ac:dyDescent="0.3">
      <c r="A61" t="s">
        <v>139</v>
      </c>
    </row>
    <row r="62" spans="1:1" x14ac:dyDescent="0.3">
      <c r="A62" t="s">
        <v>140</v>
      </c>
    </row>
    <row r="63" spans="1:1" x14ac:dyDescent="0.3">
      <c r="A63" t="s">
        <v>141</v>
      </c>
    </row>
    <row r="64" spans="1:1" x14ac:dyDescent="0.3">
      <c r="A64" t="s">
        <v>142</v>
      </c>
    </row>
    <row r="65" spans="1:1" x14ac:dyDescent="0.3">
      <c r="A65" t="s">
        <v>143</v>
      </c>
    </row>
    <row r="66" spans="1:1" x14ac:dyDescent="0.3">
      <c r="A66" t="s">
        <v>144</v>
      </c>
    </row>
    <row r="67" spans="1:1" x14ac:dyDescent="0.3">
      <c r="A67" t="s">
        <v>145</v>
      </c>
    </row>
    <row r="68" spans="1:1" x14ac:dyDescent="0.3">
      <c r="A68" t="s">
        <v>146</v>
      </c>
    </row>
    <row r="69" spans="1:1" x14ac:dyDescent="0.3">
      <c r="A69" s="2" t="s">
        <v>147</v>
      </c>
    </row>
    <row r="70" spans="1:1" x14ac:dyDescent="0.3">
      <c r="A70" t="s">
        <v>181</v>
      </c>
    </row>
    <row r="71" spans="1:1" x14ac:dyDescent="0.3">
      <c r="A71" t="s">
        <v>180</v>
      </c>
    </row>
    <row r="72" spans="1:1" x14ac:dyDescent="0.3">
      <c r="A72" s="2" t="s">
        <v>148</v>
      </c>
    </row>
    <row r="73" spans="1:1" x14ac:dyDescent="0.3">
      <c r="A73" s="2" t="s">
        <v>149</v>
      </c>
    </row>
    <row r="80" spans="1:1" x14ac:dyDescent="0.3">
      <c r="A80" s="2" t="s">
        <v>150</v>
      </c>
    </row>
    <row r="81" spans="1:1" x14ac:dyDescent="0.3">
      <c r="A81" s="2" t="s">
        <v>151</v>
      </c>
    </row>
    <row r="82" spans="1:1" x14ac:dyDescent="0.3">
      <c r="A82" t="s">
        <v>152</v>
      </c>
    </row>
    <row r="84" spans="1:1" x14ac:dyDescent="0.3">
      <c r="A84" t="s">
        <v>153</v>
      </c>
    </row>
    <row r="85" spans="1:1" x14ac:dyDescent="0.3">
      <c r="A85" s="2" t="s">
        <v>154</v>
      </c>
    </row>
    <row r="86" spans="1:1" x14ac:dyDescent="0.3">
      <c r="A86" s="2" t="s">
        <v>155</v>
      </c>
    </row>
    <row r="88" spans="1:1" x14ac:dyDescent="0.3">
      <c r="A88" s="2" t="s">
        <v>156</v>
      </c>
    </row>
    <row r="89" spans="1:1" x14ac:dyDescent="0.3">
      <c r="A89" s="2" t="s">
        <v>157</v>
      </c>
    </row>
    <row r="90" spans="1:1" x14ac:dyDescent="0.3">
      <c r="A90" t="s">
        <v>158</v>
      </c>
    </row>
    <row r="91" spans="1:1" x14ac:dyDescent="0.3">
      <c r="A91" t="s">
        <v>159</v>
      </c>
    </row>
    <row r="92" spans="1:1" x14ac:dyDescent="0.3">
      <c r="A92" t="s">
        <v>160</v>
      </c>
    </row>
    <row r="93" spans="1:1" x14ac:dyDescent="0.3">
      <c r="A93" t="s">
        <v>161</v>
      </c>
    </row>
    <row r="94" spans="1:1" x14ac:dyDescent="0.3">
      <c r="A94" s="2" t="s">
        <v>162</v>
      </c>
    </row>
    <row r="95" spans="1:1" ht="15" thickBot="1" x14ac:dyDescent="0.35">
      <c r="A95" s="9" t="s">
        <v>163</v>
      </c>
    </row>
    <row r="96" spans="1:1" x14ac:dyDescent="0.3">
      <c r="A96" t="s">
        <v>164</v>
      </c>
    </row>
    <row r="97" spans="1:1" x14ac:dyDescent="0.3">
      <c r="A97" t="s">
        <v>165</v>
      </c>
    </row>
    <row r="98" spans="1:1" x14ac:dyDescent="0.3">
      <c r="A98" t="s">
        <v>166</v>
      </c>
    </row>
    <row r="99" spans="1:1" x14ac:dyDescent="0.3">
      <c r="A99" t="s">
        <v>172</v>
      </c>
    </row>
    <row r="100" spans="1:1" x14ac:dyDescent="0.3">
      <c r="A100" t="s">
        <v>173</v>
      </c>
    </row>
    <row r="102" spans="1:1" x14ac:dyDescent="0.3">
      <c r="A102" t="s">
        <v>174</v>
      </c>
    </row>
    <row r="105" spans="1:1" x14ac:dyDescent="0.3">
      <c r="A105" t="s">
        <v>175</v>
      </c>
    </row>
    <row r="106" spans="1:1" x14ac:dyDescent="0.3">
      <c r="A106" t="s">
        <v>176</v>
      </c>
    </row>
    <row r="107" spans="1:1" x14ac:dyDescent="0.3">
      <c r="A107" t="s">
        <v>177</v>
      </c>
    </row>
    <row r="110" spans="1:1" x14ac:dyDescent="0.3">
      <c r="A110" t="s">
        <v>178</v>
      </c>
    </row>
    <row r="111" spans="1:1" x14ac:dyDescent="0.3">
      <c r="A111" s="2" t="s">
        <v>167</v>
      </c>
    </row>
    <row r="112" spans="1:1" x14ac:dyDescent="0.3">
      <c r="A112" t="s">
        <v>168</v>
      </c>
    </row>
    <row r="113" spans="1:1" x14ac:dyDescent="0.3">
      <c r="A113" t="s">
        <v>169</v>
      </c>
    </row>
    <row r="114" spans="1:1" x14ac:dyDescent="0.3">
      <c r="A114" t="s">
        <v>170</v>
      </c>
    </row>
    <row r="123" spans="1:1" x14ac:dyDescent="0.3">
      <c r="A123" s="2"/>
    </row>
    <row r="159" spans="1:1" x14ac:dyDescent="0.3">
      <c r="A159" s="2"/>
    </row>
    <row r="171" spans="1:1" x14ac:dyDescent="0.3">
      <c r="A171" s="2"/>
    </row>
    <row r="182" spans="1:1" ht="15" thickBot="1" x14ac:dyDescent="0.35">
      <c r="A182" s="9"/>
    </row>
    <row r="259" spans="1:1" x14ac:dyDescent="0.3">
      <c r="A259" s="2"/>
    </row>
    <row r="304" spans="1:1" x14ac:dyDescent="0.3">
      <c r="A304" t="s">
        <v>171</v>
      </c>
    </row>
    <row r="305" spans="1:1" x14ac:dyDescent="0.3">
      <c r="A305" t="s">
        <v>171</v>
      </c>
    </row>
    <row r="308" spans="1:1" x14ac:dyDescent="0.3">
      <c r="A308" t="s">
        <v>171</v>
      </c>
    </row>
    <row r="353" spans="1:1" x14ac:dyDescent="0.3">
      <c r="A353" t="s">
        <v>179</v>
      </c>
    </row>
    <row r="435" spans="1:1" x14ac:dyDescent="0.3">
      <c r="A435" t="s">
        <v>171</v>
      </c>
    </row>
    <row r="436" spans="1:1" x14ac:dyDescent="0.3">
      <c r="A436" t="s">
        <v>171</v>
      </c>
    </row>
    <row r="442" spans="1:1" x14ac:dyDescent="0.3">
      <c r="A442" t="s">
        <v>171</v>
      </c>
    </row>
    <row r="443" spans="1:1" x14ac:dyDescent="0.3">
      <c r="A443" t="s">
        <v>183</v>
      </c>
    </row>
    <row r="444" spans="1:1" x14ac:dyDescent="0.3">
      <c r="A444" s="2" t="s">
        <v>184</v>
      </c>
    </row>
    <row r="445" spans="1:1" x14ac:dyDescent="0.3">
      <c r="A445" t="s">
        <v>171</v>
      </c>
    </row>
    <row r="448" spans="1:1" x14ac:dyDescent="0.3">
      <c r="A448" t="s">
        <v>171</v>
      </c>
    </row>
    <row r="449" spans="1:1" x14ac:dyDescent="0.3">
      <c r="A449" t="s">
        <v>171</v>
      </c>
    </row>
    <row r="450" spans="1:1" x14ac:dyDescent="0.3">
      <c r="A450" t="s">
        <v>185</v>
      </c>
    </row>
    <row r="458" spans="1:1" x14ac:dyDescent="0.3">
      <c r="A458" t="s">
        <v>171</v>
      </c>
    </row>
    <row r="461" spans="1:1" x14ac:dyDescent="0.3">
      <c r="A461" s="2"/>
    </row>
    <row r="464" spans="1:1" x14ac:dyDescent="0.3">
      <c r="A464" t="s">
        <v>171</v>
      </c>
    </row>
    <row r="465" spans="1:1" x14ac:dyDescent="0.3">
      <c r="A465" s="2" t="s">
        <v>186</v>
      </c>
    </row>
    <row r="473" spans="1:1" x14ac:dyDescent="0.3">
      <c r="A473" s="2"/>
    </row>
    <row r="482" spans="1:1" x14ac:dyDescent="0.3">
      <c r="A482" t="s">
        <v>171</v>
      </c>
    </row>
    <row r="484" spans="1:1" x14ac:dyDescent="0.3">
      <c r="A484" t="s">
        <v>187</v>
      </c>
    </row>
    <row r="489" spans="1:1" x14ac:dyDescent="0.3">
      <c r="A489" t="s">
        <v>171</v>
      </c>
    </row>
    <row r="491" spans="1:1" x14ac:dyDescent="0.3">
      <c r="A491" t="s">
        <v>171</v>
      </c>
    </row>
    <row r="494" spans="1:1" x14ac:dyDescent="0.3">
      <c r="A494" s="2" t="s">
        <v>188</v>
      </c>
    </row>
    <row r="499" spans="1:1" x14ac:dyDescent="0.3">
      <c r="A499" s="2" t="s">
        <v>189</v>
      </c>
    </row>
    <row r="500" spans="1:1" x14ac:dyDescent="0.3">
      <c r="A500" s="2" t="s">
        <v>190</v>
      </c>
    </row>
    <row r="512" spans="1:1" x14ac:dyDescent="0.3">
      <c r="A512" s="2" t="s">
        <v>191</v>
      </c>
    </row>
    <row r="513" spans="1:1" x14ac:dyDescent="0.3">
      <c r="A513" s="2"/>
    </row>
    <row r="527" spans="1:1" x14ac:dyDescent="0.3">
      <c r="A527" t="s">
        <v>192</v>
      </c>
    </row>
    <row r="539" spans="1:1" x14ac:dyDescent="0.3">
      <c r="A539" t="s">
        <v>193</v>
      </c>
    </row>
    <row r="543" spans="1:1" x14ac:dyDescent="0.3">
      <c r="A543" t="s">
        <v>194</v>
      </c>
    </row>
    <row r="545" spans="1:1" x14ac:dyDescent="0.3">
      <c r="A545" s="2"/>
    </row>
    <row r="577" spans="1:1" x14ac:dyDescent="0.3">
      <c r="A577" s="2" t="s">
        <v>195</v>
      </c>
    </row>
    <row r="586" spans="1:1" x14ac:dyDescent="0.3">
      <c r="A586" t="s">
        <v>196</v>
      </c>
    </row>
    <row r="587" spans="1:1" x14ac:dyDescent="0.3">
      <c r="A587" t="s">
        <v>197</v>
      </c>
    </row>
    <row r="652" spans="1:1" x14ac:dyDescent="0.3">
      <c r="A652" s="2" t="s">
        <v>198</v>
      </c>
    </row>
    <row r="654" spans="1:1" x14ac:dyDescent="0.3">
      <c r="A654" s="2"/>
    </row>
    <row r="658" spans="1:1" x14ac:dyDescent="0.3">
      <c r="A658" t="s">
        <v>199</v>
      </c>
    </row>
    <row r="662" spans="1:1" x14ac:dyDescent="0.3">
      <c r="A662" t="s">
        <v>200</v>
      </c>
    </row>
    <row r="676" spans="1:1" x14ac:dyDescent="0.3">
      <c r="A676" t="s">
        <v>201</v>
      </c>
    </row>
    <row r="677" spans="1:1" x14ac:dyDescent="0.3">
      <c r="A677" t="s">
        <v>202</v>
      </c>
    </row>
    <row r="678" spans="1:1" x14ac:dyDescent="0.3">
      <c r="A678" s="2" t="s">
        <v>203</v>
      </c>
    </row>
    <row r="680" spans="1:1" x14ac:dyDescent="0.3">
      <c r="A680" t="s">
        <v>204</v>
      </c>
    </row>
    <row r="699" spans="1:1" x14ac:dyDescent="0.3">
      <c r="A699" t="s">
        <v>205</v>
      </c>
    </row>
    <row r="777" spans="1:1" x14ac:dyDescent="0.3">
      <c r="A777" t="s">
        <v>206</v>
      </c>
    </row>
    <row r="788" spans="1:1" x14ac:dyDescent="0.3">
      <c r="A788" s="2"/>
    </row>
    <row r="793" spans="1:1" x14ac:dyDescent="0.3">
      <c r="A793" t="s">
        <v>207</v>
      </c>
    </row>
    <row r="798" spans="1:1" x14ac:dyDescent="0.3">
      <c r="A798" t="s">
        <v>208</v>
      </c>
    </row>
    <row r="800" spans="1:1" x14ac:dyDescent="0.3">
      <c r="A800" s="2"/>
    </row>
    <row r="801" spans="1:1" x14ac:dyDescent="0.3">
      <c r="A801" s="2"/>
    </row>
    <row r="803" spans="1:1" x14ac:dyDescent="0.3">
      <c r="A803" t="s">
        <v>209</v>
      </c>
    </row>
    <row r="806" spans="1:1" x14ac:dyDescent="0.3">
      <c r="A806" s="2" t="s">
        <v>210</v>
      </c>
    </row>
    <row r="807" spans="1:1" x14ac:dyDescent="0.3">
      <c r="A807" s="2" t="s">
        <v>211</v>
      </c>
    </row>
    <row r="811" spans="1:1" x14ac:dyDescent="0.3">
      <c r="A811" s="2" t="s">
        <v>212</v>
      </c>
    </row>
    <row r="812" spans="1:1" x14ac:dyDescent="0.3">
      <c r="A812" t="s">
        <v>213</v>
      </c>
    </row>
    <row r="813" spans="1:1" x14ac:dyDescent="0.3">
      <c r="A813" s="2" t="s">
        <v>214</v>
      </c>
    </row>
    <row r="825" spans="1:1" x14ac:dyDescent="0.3">
      <c r="A825" s="2"/>
    </row>
    <row r="833" spans="1:1" x14ac:dyDescent="0.3">
      <c r="A833" s="2"/>
    </row>
    <row r="839" spans="1:1" x14ac:dyDescent="0.3">
      <c r="A839" s="2" t="s">
        <v>215</v>
      </c>
    </row>
    <row r="842" spans="1:1" x14ac:dyDescent="0.3">
      <c r="A842" t="s">
        <v>216</v>
      </c>
    </row>
    <row r="844" spans="1:1" x14ac:dyDescent="0.3">
      <c r="A844" s="2"/>
    </row>
    <row r="850" spans="1:1" x14ac:dyDescent="0.3">
      <c r="A850" t="s">
        <v>217</v>
      </c>
    </row>
    <row r="852" spans="1:1" x14ac:dyDescent="0.3">
      <c r="A852" s="2"/>
    </row>
    <row r="874" spans="1:1" x14ac:dyDescent="0.3">
      <c r="A874" t="s">
        <v>218</v>
      </c>
    </row>
    <row r="878" spans="1:1" x14ac:dyDescent="0.3">
      <c r="A878" s="2"/>
    </row>
    <row r="879" spans="1:1" x14ac:dyDescent="0.3">
      <c r="A879" t="s">
        <v>219</v>
      </c>
    </row>
    <row r="881" spans="1:1" x14ac:dyDescent="0.3">
      <c r="A881" s="2"/>
    </row>
    <row r="886" spans="1:1" x14ac:dyDescent="0.3">
      <c r="A886" s="2"/>
    </row>
    <row r="888" spans="1:1" x14ac:dyDescent="0.3">
      <c r="A888" t="s">
        <v>220</v>
      </c>
    </row>
    <row r="892" spans="1:1" x14ac:dyDescent="0.3">
      <c r="A892" t="s">
        <v>221</v>
      </c>
    </row>
    <row r="898" spans="1:1" x14ac:dyDescent="0.3">
      <c r="A898" t="s">
        <v>222</v>
      </c>
    </row>
    <row r="920" spans="1:1" x14ac:dyDescent="0.3">
      <c r="A920" s="2"/>
    </row>
    <row r="927" spans="1:1" x14ac:dyDescent="0.3">
      <c r="A927" t="s">
        <v>223</v>
      </c>
    </row>
    <row r="928" spans="1:1" x14ac:dyDescent="0.3">
      <c r="A928" s="2" t="s">
        <v>224</v>
      </c>
    </row>
    <row r="936" spans="1:1" x14ac:dyDescent="0.3">
      <c r="A936" s="2" t="s">
        <v>225</v>
      </c>
    </row>
    <row r="954" spans="1:1" x14ac:dyDescent="0.3">
      <c r="A954" t="s">
        <v>226</v>
      </c>
    </row>
    <row r="978" spans="1:1" x14ac:dyDescent="0.3">
      <c r="A978" s="2" t="s">
        <v>227</v>
      </c>
    </row>
    <row r="981" spans="1:1" x14ac:dyDescent="0.3">
      <c r="A981" s="2" t="s">
        <v>228</v>
      </c>
    </row>
    <row r="986" spans="1:1" x14ac:dyDescent="0.3">
      <c r="A986" s="2" t="s">
        <v>229</v>
      </c>
    </row>
    <row r="988" spans="1:1" x14ac:dyDescent="0.3">
      <c r="A988" s="2" t="s">
        <v>230</v>
      </c>
    </row>
    <row r="990" spans="1:1" x14ac:dyDescent="0.3">
      <c r="A990" s="2"/>
    </row>
    <row r="1004" spans="1:1" x14ac:dyDescent="0.3">
      <c r="A1004" s="2" t="s">
        <v>231</v>
      </c>
    </row>
    <row r="1006" spans="1:1" x14ac:dyDescent="0.3">
      <c r="A1006" s="2" t="s">
        <v>232</v>
      </c>
    </row>
    <row r="1010" spans="1:1" x14ac:dyDescent="0.3">
      <c r="A1010" s="2"/>
    </row>
    <row r="1014" spans="1:1" x14ac:dyDescent="0.3">
      <c r="A1014" s="2"/>
    </row>
    <row r="1050" spans="1:1" x14ac:dyDescent="0.3">
      <c r="A1050" s="2"/>
    </row>
    <row r="1051" spans="1:1" x14ac:dyDescent="0.3">
      <c r="A1051" s="2"/>
    </row>
    <row r="1053" spans="1:1" x14ac:dyDescent="0.3">
      <c r="A1053" s="2"/>
    </row>
    <row r="1077" spans="1:1" x14ac:dyDescent="0.3">
      <c r="A1077" t="s">
        <v>233</v>
      </c>
    </row>
    <row r="1183" spans="1:1" x14ac:dyDescent="0.3">
      <c r="A1183" t="s">
        <v>234</v>
      </c>
    </row>
    <row r="1409" spans="1:1" x14ac:dyDescent="0.3">
      <c r="A1409" t="s">
        <v>249</v>
      </c>
    </row>
    <row r="1414" spans="1:1" x14ac:dyDescent="0.3">
      <c r="A1414" t="s">
        <v>250</v>
      </c>
    </row>
    <row r="1415" spans="1:1" x14ac:dyDescent="0.3">
      <c r="A1415" t="s">
        <v>251</v>
      </c>
    </row>
    <row r="1417" spans="1:1" x14ac:dyDescent="0.3">
      <c r="A1417" t="s">
        <v>252</v>
      </c>
    </row>
    <row r="1418" spans="1:1" x14ac:dyDescent="0.3">
      <c r="A1418" t="s">
        <v>253</v>
      </c>
    </row>
    <row r="1420" spans="1:1" x14ac:dyDescent="0.3">
      <c r="A1420" t="s">
        <v>254</v>
      </c>
    </row>
    <row r="2030" spans="1:1" x14ac:dyDescent="0.3">
      <c r="A2030" t="s">
        <v>269</v>
      </c>
    </row>
    <row r="2327" spans="1:1" x14ac:dyDescent="0.3">
      <c r="A2327" t="s">
        <v>280</v>
      </c>
    </row>
    <row r="2328" spans="1:1" x14ac:dyDescent="0.3">
      <c r="A2328" t="s">
        <v>281</v>
      </c>
    </row>
    <row r="2476" spans="1:1" x14ac:dyDescent="0.3">
      <c r="A2476" t="s">
        <v>282</v>
      </c>
    </row>
  </sheetData>
  <conditionalFormatting sqref="A2316:A1048576 A2300:A2309 A2313:A2314 A2191:A2197 A2203:A2297 A2176:A2189 A2120:A2167 A2097:A2110 A2064:A2086 A1906:A2052 A1870:A1893 A1536:A1850 A1469:A1513 A1402:A1428 A1393:A1399 A1375:A1389 A1351:A1369 A1534 A253:A317 A335:A1311 A192:A250 A1:A187">
    <cfRule type="duplicateValues" dxfId="1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BCD12-7F72-495E-8EAB-9FA2B80EC334}">
  <dimension ref="A1"/>
  <sheetViews>
    <sheetView workbookViewId="0">
      <selection sqref="A1:A1048576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CASCADES</vt:lpstr>
      <vt:lpstr>PROPERTIES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Bortolami</dc:creator>
  <cp:lastModifiedBy>Laura Bortolami</cp:lastModifiedBy>
  <dcterms:created xsi:type="dcterms:W3CDTF">2026-05-30T11:08:52Z</dcterms:created>
  <dcterms:modified xsi:type="dcterms:W3CDTF">2026-05-30T13:50:54Z</dcterms:modified>
</cp:coreProperties>
</file>